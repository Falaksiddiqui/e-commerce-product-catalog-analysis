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Pivot Table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<sst xmlns="http://schemas.openxmlformats.org/spreadsheetml/2006/main" count="79" uniqueCount="46">
  <si>
    <t>Product ID</t>
  </si>
  <si>
    <t>Electronics</t>
  </si>
  <si>
    <t>Product Name</t>
  </si>
  <si>
    <t>Category</t>
  </si>
  <si>
    <t>Price</t>
  </si>
  <si>
    <t>Stock</t>
  </si>
  <si>
    <t>Status</t>
  </si>
  <si>
    <t>Brand</t>
  </si>
  <si>
    <t>Home $ Kitchen</t>
  </si>
  <si>
    <t>Stock Status</t>
  </si>
  <si>
    <t>P101</t>
  </si>
  <si>
    <t>Wireless Mouse</t>
  </si>
  <si>
    <t>Active</t>
  </si>
  <si>
    <t>Logitech</t>
  </si>
  <si>
    <t>P102</t>
  </si>
  <si>
    <t>USB Keyboard</t>
  </si>
  <si>
    <t>HP</t>
  </si>
  <si>
    <t>P103</t>
  </si>
  <si>
    <t>Water Bottle</t>
  </si>
  <si>
    <t>Home &amp; Kitchen</t>
  </si>
  <si>
    <t>Milton</t>
  </si>
  <si>
    <t>P104</t>
  </si>
  <si>
    <t>Notebook</t>
  </si>
  <si>
    <t>Stationery</t>
  </si>
  <si>
    <t>Classmate</t>
  </si>
  <si>
    <t>P105</t>
  </si>
  <si>
    <t>Desk Lamp</t>
  </si>
  <si>
    <t>Philips</t>
  </si>
  <si>
    <t>AVERAGE of Price</t>
  </si>
  <si>
    <t>P106</t>
  </si>
  <si>
    <t>Phone Stand</t>
  </si>
  <si>
    <t>Bags</t>
  </si>
  <si>
    <t>Portronics</t>
  </si>
  <si>
    <t>P107</t>
  </si>
  <si>
    <t>Backpack</t>
  </si>
  <si>
    <t>Grand Total</t>
  </si>
  <si>
    <t>Skybags</t>
  </si>
  <si>
    <t>P108</t>
  </si>
  <si>
    <t>Pen Set</t>
  </si>
  <si>
    <t>Reynolds</t>
  </si>
  <si>
    <t>P109</t>
  </si>
  <si>
    <t>Coffee Mug</t>
  </si>
  <si>
    <t>Borosil</t>
  </si>
  <si>
    <t>P110</t>
  </si>
  <si>
    <t>Laptop Sleeve</t>
  </si>
  <si>
    <t>Lenovo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</si>
</sst>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" sheet="Sheet1"/>
  </cacheSource>
  <cacheFields>
    <cacheField name="Product ID" numFmtId="0">
      <sharedItems>
        <s v="P101"/>
        <s v="P102"/>
        <s v="P103"/>
        <s v="P104"/>
        <s v="P105"/>
        <s v="P106"/>
        <s v="P107"/>
        <s v="P108"/>
        <s v="P109"/>
        <s v="P110"/>
      </sharedItems>
    </cacheField>
    <cacheField name="Product Name" numFmtId="0">
      <sharedItems>
        <s v="Wireless Mouse"/>
        <s v="USB Keyboard"/>
        <s v="Water Bottle"/>
        <s v="Notebook"/>
        <s v="Desk Lamp"/>
        <s v="Phone Stand"/>
        <s v="Backpack"/>
        <s v="Pen Set"/>
        <s v="Coffee Mug"/>
        <s v="Laptop Sleeve"/>
      </sharedItems>
    </cacheField>
    <cacheField name="Category" numFmtId="0">
      <sharedItems>
        <s v="Electronics"/>
        <s v="Home &amp; Kitchen"/>
        <s v="Stationery"/>
        <s v="Bags"/>
      </sharedItems>
    </cacheField>
    <cacheField name="Price" numFmtId="0">
      <sharedItems containsSemiMixedTypes="0" containsString="0" containsNumber="1" containsInteger="1">
        <n v="599.0"/>
        <n v="799.0"/>
        <n v="399.0"/>
        <n v="149.0"/>
        <n v="899.0"/>
        <n v="299.0"/>
        <n v="1299.0"/>
        <n v="199.0"/>
        <n v="349.0"/>
        <n v="699.0"/>
      </sharedItems>
    </cacheField>
    <cacheField name="Stock" numFmtId="0">
      <sharedItems containsSemiMixedTypes="0" containsString="0" containsNumber="1" containsInteger="1">
        <n v="25.0"/>
        <n v="18.0"/>
        <n v="40.0"/>
        <n v="100.0"/>
        <n v="12.0"/>
        <n v="35.0"/>
        <n v="20.0"/>
        <n v="60.0"/>
        <n v="30.0"/>
        <n v="15.0"/>
      </sharedItems>
    </cacheField>
    <cacheField name="Status" numFmtId="0">
      <sharedItems>
        <s v="Active"/>
      </sharedItems>
    </cacheField>
    <cacheField name="Brand" numFmtId="0">
      <sharedItems>
        <s v="Logitech"/>
        <s v="HP"/>
        <s v="Milton"/>
        <s v="Classmate"/>
        <s v="Philips"/>
        <s v="Portronics"/>
        <s v="Skybags"/>
        <s v="Reynolds"/>
        <s v="Borosil"/>
        <s v="Lenovo"/>
      </sharedItems>
    </cacheField>
    <cacheField name="product id2" numFmtId="0">
      <sharedItems>
        <s v="P101"/>
        <s v="P102"/>
        <s v="P103"/>
        <s v="P104"/>
        <s v="P105"/>
        <s v="P106"/>
        <s v="P107"/>
        <s v="P108"/>
        <s v="P109"/>
        <s v="P110"/>
      </sharedItems>
    </cacheField>
    <cacheField name="brand2" numFmtId="0">
      <sharedItems>
        <s v="Logitech"/>
        <s v="HP"/>
        <s v="Milton"/>
        <s v="Classmate"/>
        <s v="Philips"/>
        <s v="Portronics"/>
        <s v="Skybags"/>
        <s v="Reynolds"/>
        <s v="Borosil"/>
        <s v="Lenov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 i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rand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dataFields>
    <dataField name="AVERAGE of Price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  <c r="I1" s="1" t="s">
        <v>7</v>
      </c>
      <c r="J1" s="1" t="s">
        <v>9</v>
      </c>
    </row>
    <row r="2">
      <c r="A2" s="2" t="s">
        <v>10</v>
      </c>
      <c r="B2" s="2" t="s">
        <v>11</v>
      </c>
      <c r="C2" s="2" t="s">
        <v>1</v>
      </c>
      <c r="D2" s="2">
        <v>599.0</v>
      </c>
      <c r="E2" s="2">
        <v>25.0</v>
      </c>
      <c r="F2" s="2" t="s">
        <v>12</v>
      </c>
      <c r="G2" s="3" t="str">
        <f t="shared" ref="G2:G11" si="1">VLOOKUP(A2,$H$2:$I$11,2,FALSE)</f>
        <v>Logitech</v>
      </c>
      <c r="H2" s="2" t="s">
        <v>10</v>
      </c>
      <c r="I2" s="2" t="s">
        <v>13</v>
      </c>
      <c r="J2" s="3" t="str">
        <f t="shared" ref="J2:J11" si="2">IF(E2&lt;20,"Low Stock","Available")</f>
        <v>Available</v>
      </c>
    </row>
    <row r="3">
      <c r="A3" s="2" t="s">
        <v>14</v>
      </c>
      <c r="B3" s="2" t="s">
        <v>15</v>
      </c>
      <c r="C3" s="2" t="s">
        <v>1</v>
      </c>
      <c r="D3" s="2">
        <v>799.0</v>
      </c>
      <c r="E3" s="2">
        <v>18.0</v>
      </c>
      <c r="F3" s="2" t="s">
        <v>12</v>
      </c>
      <c r="G3" s="3" t="str">
        <f t="shared" si="1"/>
        <v>HP</v>
      </c>
      <c r="H3" s="2" t="s">
        <v>14</v>
      </c>
      <c r="I3" s="2" t="s">
        <v>16</v>
      </c>
      <c r="J3" s="3" t="str">
        <f t="shared" si="2"/>
        <v>Low Stock</v>
      </c>
    </row>
    <row r="4">
      <c r="A4" s="2" t="s">
        <v>17</v>
      </c>
      <c r="B4" s="2" t="s">
        <v>18</v>
      </c>
      <c r="C4" s="2" t="s">
        <v>19</v>
      </c>
      <c r="D4" s="2">
        <v>399.0</v>
      </c>
      <c r="E4" s="2">
        <v>40.0</v>
      </c>
      <c r="F4" s="2" t="s">
        <v>12</v>
      </c>
      <c r="G4" s="3" t="str">
        <f t="shared" si="1"/>
        <v>Milton</v>
      </c>
      <c r="H4" s="2" t="s">
        <v>17</v>
      </c>
      <c r="I4" s="2" t="s">
        <v>20</v>
      </c>
      <c r="J4" s="3" t="str">
        <f t="shared" si="2"/>
        <v>Available</v>
      </c>
    </row>
    <row r="5">
      <c r="A5" s="2" t="s">
        <v>21</v>
      </c>
      <c r="B5" s="2" t="s">
        <v>22</v>
      </c>
      <c r="C5" s="2" t="s">
        <v>23</v>
      </c>
      <c r="D5" s="2">
        <v>149.0</v>
      </c>
      <c r="E5" s="2">
        <v>100.0</v>
      </c>
      <c r="F5" s="2" t="s">
        <v>12</v>
      </c>
      <c r="G5" s="3" t="str">
        <f t="shared" si="1"/>
        <v>Classmate</v>
      </c>
      <c r="H5" s="2" t="s">
        <v>21</v>
      </c>
      <c r="I5" s="2" t="s">
        <v>24</v>
      </c>
      <c r="J5" s="3" t="str">
        <f t="shared" si="2"/>
        <v>Available</v>
      </c>
    </row>
    <row r="6">
      <c r="A6" s="2" t="s">
        <v>25</v>
      </c>
      <c r="B6" s="2" t="s">
        <v>26</v>
      </c>
      <c r="C6" s="2" t="s">
        <v>19</v>
      </c>
      <c r="D6" s="2">
        <v>899.0</v>
      </c>
      <c r="E6" s="2">
        <v>12.0</v>
      </c>
      <c r="F6" s="2" t="s">
        <v>12</v>
      </c>
      <c r="G6" s="3" t="str">
        <f t="shared" si="1"/>
        <v>Philips</v>
      </c>
      <c r="H6" s="2" t="s">
        <v>25</v>
      </c>
      <c r="I6" s="2" t="s">
        <v>27</v>
      </c>
      <c r="J6" s="3" t="str">
        <f t="shared" si="2"/>
        <v>Low Stock</v>
      </c>
    </row>
    <row r="7">
      <c r="A7" s="2" t="s">
        <v>29</v>
      </c>
      <c r="B7" s="2" t="s">
        <v>30</v>
      </c>
      <c r="C7" s="2" t="s">
        <v>1</v>
      </c>
      <c r="D7" s="2">
        <v>299.0</v>
      </c>
      <c r="E7" s="2">
        <v>35.0</v>
      </c>
      <c r="F7" s="2" t="s">
        <v>12</v>
      </c>
      <c r="G7" s="3" t="str">
        <f t="shared" si="1"/>
        <v>Portronics</v>
      </c>
      <c r="H7" s="2" t="s">
        <v>29</v>
      </c>
      <c r="I7" s="2" t="s">
        <v>32</v>
      </c>
      <c r="J7" s="3" t="str">
        <f t="shared" si="2"/>
        <v>Available</v>
      </c>
    </row>
    <row r="8">
      <c r="A8" s="2" t="s">
        <v>33</v>
      </c>
      <c r="B8" s="2" t="s">
        <v>34</v>
      </c>
      <c r="C8" s="2" t="s">
        <v>31</v>
      </c>
      <c r="D8" s="2">
        <v>1299.0</v>
      </c>
      <c r="E8" s="2">
        <v>20.0</v>
      </c>
      <c r="F8" s="2" t="s">
        <v>12</v>
      </c>
      <c r="G8" s="3" t="str">
        <f t="shared" si="1"/>
        <v>Skybags</v>
      </c>
      <c r="H8" s="2" t="s">
        <v>33</v>
      </c>
      <c r="I8" s="2" t="s">
        <v>36</v>
      </c>
      <c r="J8" s="3" t="str">
        <f t="shared" si="2"/>
        <v>Available</v>
      </c>
    </row>
    <row r="9">
      <c r="A9" s="2" t="s">
        <v>37</v>
      </c>
      <c r="B9" s="2" t="s">
        <v>38</v>
      </c>
      <c r="C9" s="2" t="s">
        <v>23</v>
      </c>
      <c r="D9" s="2">
        <v>199.0</v>
      </c>
      <c r="E9" s="2">
        <v>60.0</v>
      </c>
      <c r="F9" s="2" t="s">
        <v>12</v>
      </c>
      <c r="G9" s="3" t="str">
        <f t="shared" si="1"/>
        <v>Reynolds</v>
      </c>
      <c r="H9" s="2" t="s">
        <v>37</v>
      </c>
      <c r="I9" s="2" t="s">
        <v>39</v>
      </c>
      <c r="J9" s="3" t="str">
        <f t="shared" si="2"/>
        <v>Available</v>
      </c>
    </row>
    <row r="10">
      <c r="A10" s="2" t="s">
        <v>40</v>
      </c>
      <c r="B10" s="2" t="s">
        <v>41</v>
      </c>
      <c r="C10" s="2" t="s">
        <v>19</v>
      </c>
      <c r="D10" s="2">
        <v>349.0</v>
      </c>
      <c r="E10" s="2">
        <v>30.0</v>
      </c>
      <c r="F10" s="2" t="s">
        <v>12</v>
      </c>
      <c r="G10" s="3" t="str">
        <f t="shared" si="1"/>
        <v>Borosil</v>
      </c>
      <c r="H10" s="2" t="s">
        <v>40</v>
      </c>
      <c r="I10" s="2" t="s">
        <v>42</v>
      </c>
      <c r="J10" s="3" t="str">
        <f t="shared" si="2"/>
        <v>Available</v>
      </c>
    </row>
    <row r="11">
      <c r="A11" s="2" t="s">
        <v>43</v>
      </c>
      <c r="B11" s="2" t="s">
        <v>44</v>
      </c>
      <c r="C11" s="2" t="s">
        <v>31</v>
      </c>
      <c r="D11" s="2">
        <v>699.0</v>
      </c>
      <c r="E11" s="2">
        <v>15.0</v>
      </c>
      <c r="F11" s="2" t="s">
        <v>12</v>
      </c>
      <c r="G11" s="3" t="str">
        <f t="shared" si="1"/>
        <v>Lenovo</v>
      </c>
      <c r="H11" s="2" t="s">
        <v>43</v>
      </c>
      <c r="I11" s="2" t="s">
        <v>45</v>
      </c>
      <c r="J11" s="3" t="str">
        <f t="shared" si="2"/>
        <v>Low Stock</v>
      </c>
    </row>
    <row r="12">
      <c r="C12" s="3">
        <f>COUNTIF(C2:C11,"Electronics")</f>
        <v>3</v>
      </c>
      <c r="D12" s="3">
        <f>AVERAGE(D2:D11)</f>
        <v>569</v>
      </c>
      <c r="E12" s="3">
        <f>SUM(E2:E11)</f>
        <v>355</v>
      </c>
    </row>
    <row r="13">
      <c r="E13" s="3">
        <f>COUNT(E2:E11)</f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